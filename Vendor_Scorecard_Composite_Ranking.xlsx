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praja\Desktop\project files\powerbi\"/>
    </mc:Choice>
  </mc:AlternateContent>
  <xr:revisionPtr revIDLastSave="0" documentId="13_ncr:1_{04C80B0D-A751-4115-AF6D-65B7A03D80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ndor Scor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1" l="1"/>
  <c r="G6" i="1"/>
  <c r="E6" i="1"/>
  <c r="C6" i="1"/>
  <c r="J6" i="1" s="1"/>
  <c r="I5" i="1"/>
  <c r="G5" i="1"/>
  <c r="E5" i="1"/>
  <c r="C5" i="1"/>
  <c r="J5" i="1" s="1"/>
  <c r="I4" i="1"/>
  <c r="G4" i="1"/>
  <c r="E4" i="1"/>
  <c r="C4" i="1"/>
  <c r="J4" i="1" s="1"/>
  <c r="I3" i="1"/>
  <c r="G3" i="1"/>
  <c r="E3" i="1"/>
  <c r="J3" i="1" s="1"/>
  <c r="C3" i="1"/>
  <c r="I2" i="1"/>
  <c r="G2" i="1"/>
  <c r="E2" i="1"/>
  <c r="J2" i="1" s="1"/>
  <c r="C2" i="1"/>
</calcChain>
</file>

<file path=xl/sharedStrings.xml><?xml version="1.0" encoding="utf-8"?>
<sst xmlns="http://schemas.openxmlformats.org/spreadsheetml/2006/main" count="16" uniqueCount="16">
  <si>
    <t>Supplier</t>
  </si>
  <si>
    <t>ontime_pct</t>
  </si>
  <si>
    <t>normalised_ontime_pct</t>
  </si>
  <si>
    <t>def_pct</t>
  </si>
  <si>
    <t>normalised_def_pct</t>
  </si>
  <si>
    <t>Comp_pct</t>
  </si>
  <si>
    <t>normalised_Comp_pct</t>
  </si>
  <si>
    <t>avg_lead_time_days</t>
  </si>
  <si>
    <t>normalised_avg_lead_time_days</t>
  </si>
  <si>
    <t>composite_score</t>
  </si>
  <si>
    <t>Delta_Logistics</t>
  </si>
  <si>
    <t>Gamma_Co</t>
  </si>
  <si>
    <t>Beta_Supplies</t>
  </si>
  <si>
    <t>Epsilon_Group</t>
  </si>
  <si>
    <t>Alpha_Inc</t>
  </si>
  <si>
    <t>Weights: On-Time 30% | Defect Rate 40% | Compliance 20% | Lead Time 10%. Adjusted from the course's suggested 35/35/15/15 because On-Time Rate and Lead Time are correlated (On-Time is defined FROM Lead Time), so weighting both heavily double-counts one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</si>
</sst>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9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Normal="100" workbookViewId="0">
      <selection activeCell="E11" sqref="E11"/>
    </sheetView>
  </sheetViews>
  <sheetFormatPr defaultColWidth="8.6640625" defaultRowHeight="14.4" x14ac:dyDescent="0.3"/>
  <cols>
    <col min="1" max="1" width="18" customWidth="1"/>
    <col min="2" max="2" width="12" customWidth="1"/>
    <col min="3" max="3" width="20" customWidth="1"/>
    <col min="4" max="4" width="10" customWidth="1"/>
    <col min="5" max="5" width="18" customWidth="1"/>
    <col min="6" max="6" width="10" customWidth="1"/>
    <col min="7" max="7" width="20" customWidth="1"/>
    <col min="8" max="8" width="18" customWidth="1"/>
    <col min="9" max="9" width="26" customWidth="1"/>
    <col min="10" max="10" width="16" customWidth="1"/>
  </cols>
  <sheetData>
    <row r="1" spans="1:10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58.3</v>
      </c>
      <c r="C2" s="3">
        <f>(B2-MIN($B$2:$B$6))/(MAX($B$2:$B$6)-MIN($B$2:$B$6))*100</f>
        <v>80.392156862745097</v>
      </c>
      <c r="D2" s="3">
        <v>10.6</v>
      </c>
      <c r="E2" s="3">
        <f>(MAX($D$2:$D$6)-D2)/(MAX($D$2:$D$6)-MIN($D$2:$D$6))*100</f>
        <v>0</v>
      </c>
      <c r="F2" s="3">
        <v>61.2</v>
      </c>
      <c r="G2" s="3">
        <f>(F2-MIN($F$2:$F$6))/(MAX($F$2:$F$6)-MIN($F$2:$F$6))*100</f>
        <v>0</v>
      </c>
      <c r="H2" s="3">
        <v>10.3</v>
      </c>
      <c r="I2" s="3">
        <f>(MAX($H$2:$H$6)-H2)/(MAX($H$2:$H$6)-MIN($H$2:$H$6))*100</f>
        <v>69.23076923076917</v>
      </c>
      <c r="J2" s="3">
        <f>(C2*0.3)+(E2*0.4)+(G2*0.2)+(I2*0.1)</f>
        <v>31.040723981900445</v>
      </c>
    </row>
    <row r="3" spans="1:10" x14ac:dyDescent="0.3">
      <c r="A3" s="2" t="s">
        <v>11</v>
      </c>
      <c r="B3" s="3">
        <v>61.3</v>
      </c>
      <c r="C3" s="3">
        <f>(B3-MIN($B$2:$B$6))/(MAX($B$2:$B$6)-MIN($B$2:$B$6))*100</f>
        <v>100</v>
      </c>
      <c r="D3" s="3">
        <v>4.4000000000000004</v>
      </c>
      <c r="E3" s="3">
        <f>(MAX($D$2:$D$6)-D3)/(MAX($D$2:$D$6)-MIN($D$2:$D$6))*100</f>
        <v>70.454545454545453</v>
      </c>
      <c r="F3" s="3">
        <v>85</v>
      </c>
      <c r="G3" s="3">
        <f>(F3-MIN($F$2:$F$6))/(MAX($F$2:$F$6)-MIN($F$2:$F$6))*100</f>
        <v>64.498644986449875</v>
      </c>
      <c r="H3" s="3">
        <v>9.9</v>
      </c>
      <c r="I3" s="3">
        <f>(MAX($H$2:$H$6)-H3)/(MAX($H$2:$H$6)-MIN($H$2:$H$6))*100</f>
        <v>100</v>
      </c>
      <c r="J3" s="3">
        <f>(C3*0.3)+(E3*0.4)+(G3*0.2)+(I3*0.1)</f>
        <v>81.081547179108156</v>
      </c>
    </row>
    <row r="4" spans="1:10" x14ac:dyDescent="0.3">
      <c r="A4" s="2" t="s">
        <v>12</v>
      </c>
      <c r="B4" s="3">
        <v>46</v>
      </c>
      <c r="C4" s="3">
        <f>(B4-MIN($B$2:$B$6))/(MAX($B$2:$B$6)-MIN($B$2:$B$6))*100</f>
        <v>0</v>
      </c>
      <c r="D4" s="3">
        <v>7.8</v>
      </c>
      <c r="E4" s="3">
        <f>(MAX($D$2:$D$6)-D4)/(MAX($D$2:$D$6)-MIN($D$2:$D$6))*100</f>
        <v>31.818181818181817</v>
      </c>
      <c r="F4" s="3">
        <v>76</v>
      </c>
      <c r="G4" s="3">
        <f>(F4-MIN($F$2:$F$6))/(MAX($F$2:$F$6)-MIN($F$2:$F$6))*100</f>
        <v>40.108401084010843</v>
      </c>
      <c r="H4" s="3">
        <v>11.2</v>
      </c>
      <c r="I4" s="3">
        <f>(MAX($H$2:$H$6)-H4)/(MAX($H$2:$H$6)-MIN($H$2:$H$6))*100</f>
        <v>0</v>
      </c>
      <c r="J4" s="3">
        <f>(C4*0.3)+(E4*0.4)+(G4*0.2)+(I4*0.1)</f>
        <v>20.748952944074894</v>
      </c>
    </row>
    <row r="5" spans="1:10" x14ac:dyDescent="0.3">
      <c r="A5" s="2" t="s">
        <v>13</v>
      </c>
      <c r="B5" s="3">
        <v>53.3</v>
      </c>
      <c r="C5" s="3">
        <f>(B5-MIN($B$2:$B$6))/(MAX($B$2:$B$6)-MIN($B$2:$B$6))*100</f>
        <v>47.712418300653589</v>
      </c>
      <c r="D5" s="3">
        <v>2.6</v>
      </c>
      <c r="E5" s="3">
        <f>(MAX($D$2:$D$6)-D5)/(MAX($D$2:$D$6)-MIN($D$2:$D$6))*100</f>
        <v>90.909090909090921</v>
      </c>
      <c r="F5" s="3">
        <v>98.1</v>
      </c>
      <c r="G5" s="3">
        <f>(F5-MIN($F$2:$F$6))/(MAX($F$2:$F$6)-MIN($F$2:$F$6))*100</f>
        <v>100</v>
      </c>
      <c r="H5" s="3">
        <v>10.5</v>
      </c>
      <c r="I5" s="3">
        <f>(MAX($H$2:$H$6)-H5)/(MAX($H$2:$H$6)-MIN($H$2:$H$6))*100</f>
        <v>53.846153846153832</v>
      </c>
      <c r="J5" s="3">
        <f>(C5*0.3)+(E5*0.4)+(G5*0.2)+(I5*0.1)</f>
        <v>76.061977238447838</v>
      </c>
    </row>
    <row r="6" spans="1:10" x14ac:dyDescent="0.3">
      <c r="A6" s="2" t="s">
        <v>14</v>
      </c>
      <c r="B6" s="3">
        <v>51.7</v>
      </c>
      <c r="C6" s="3">
        <f>(B6-MIN($B$2:$B$6))/(MAX($B$2:$B$6)-MIN($B$2:$B$6))*100</f>
        <v>37.254901960784338</v>
      </c>
      <c r="D6" s="3">
        <v>1.8</v>
      </c>
      <c r="E6" s="3">
        <f>(MAX($D$2:$D$6)-D6)/(MAX($D$2:$D$6)-MIN($D$2:$D$6))*100</f>
        <v>100</v>
      </c>
      <c r="F6" s="3">
        <v>93.3</v>
      </c>
      <c r="G6" s="3">
        <f>(F6-MIN($F$2:$F$6))/(MAX($F$2:$F$6)-MIN($F$2:$F$6))*100</f>
        <v>86.991869918699194</v>
      </c>
      <c r="H6" s="3">
        <v>10.5</v>
      </c>
      <c r="I6" s="3">
        <f>(MAX($H$2:$H$6)-H6)/(MAX($H$2:$H$6)-MIN($H$2:$H$6))*100</f>
        <v>53.846153846153832</v>
      </c>
      <c r="J6" s="3">
        <f>(C6*0.3)+(E6*0.4)+(G6*0.2)+(I6*0.1)</f>
        <v>73.959459956590536</v>
      </c>
    </row>
    <row r="8" spans="1:10" ht="39.75" customHeight="1" x14ac:dyDescent="0.3">
      <c r="A8" s="4" t="s">
        <v>15</v>
      </c>
      <c r="B8" s="4"/>
      <c r="C8" s="4"/>
      <c r="D8" s="4"/>
      <c r="E8" s="4"/>
      <c r="F8" s="4"/>
      <c r="G8" s="4"/>
      <c r="H8" s="4"/>
      <c r="I8" s="4"/>
      <c r="J8" s="4"/>
    </row>
  </sheetData>
  <mergeCells count="1">
    <mergeCell ref="A8:J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Supraja sharma</cp:lastModifiedBy>
  <cp:revision>0</cp:revision>
  <dcterms:created xsi:type="dcterms:W3CDTF">2026-08-06T06:18:00Z</dcterms:created>
  <dcterms:modified xsi:type="dcterms:W3CDTF">2026-08-07T19:36:44Z</dcterms:modified>
  <dc:language>en-US</dc:language>
</cp:coreProperties>
</file>